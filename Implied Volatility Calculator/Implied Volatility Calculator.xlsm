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\Documents\GitHub\MAFN\Numerical_Methods_in_Finance\"/>
    </mc:Choice>
  </mc:AlternateContent>
  <xr:revisionPtr revIDLastSave="0" documentId="13_ncr:1_{7277233D-B37C-455F-90AA-BBE4F2F1A94C}" xr6:coauthVersionLast="45" xr6:coauthVersionMax="45" xr10:uidLastSave="{00000000-0000-0000-0000-000000000000}"/>
  <bookViews>
    <workbookView xWindow="-120" yWindow="-120" windowWidth="29040" windowHeight="16440" xr2:uid="{56987332-E973-4D77-B569-5BAF6F24DB00}"/>
  </bookViews>
  <sheets>
    <sheet name="Sheet1" sheetId="1" r:id="rId1"/>
  </sheets>
  <functionGroups builtInGroupCount="19"/>
  <definedNames>
    <definedName name="target1">#REF!</definedName>
    <definedName name="target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1" l="1"/>
  <c r="B12" i="1" l="1"/>
</calcChain>
</file>

<file path=xl/sharedStrings.xml><?xml version="1.0" encoding="utf-8"?>
<sst xmlns="http://schemas.openxmlformats.org/spreadsheetml/2006/main" count="42" uniqueCount="28">
  <si>
    <t>Strike Price</t>
  </si>
  <si>
    <t>Spot Price</t>
  </si>
  <si>
    <t>Expiration (Days)</t>
  </si>
  <si>
    <t>Domestic Zero Rate</t>
  </si>
  <si>
    <t>Foreign Interest Rate</t>
  </si>
  <si>
    <t>Expiration (Years)</t>
  </si>
  <si>
    <t>Newton</t>
  </si>
  <si>
    <t>Secant Method</t>
  </si>
  <si>
    <t>Date Convention (Days in a Year)</t>
  </si>
  <si>
    <t>Target</t>
  </si>
  <si>
    <t>General Parameters</t>
  </si>
  <si>
    <t>Input</t>
  </si>
  <si>
    <t>Output</t>
  </si>
  <si>
    <t>Maximum Iterations Allowed</t>
  </si>
  <si>
    <t>Tolerance (Order of Magnitude)</t>
  </si>
  <si>
    <t>Newton Initial Guess</t>
  </si>
  <si>
    <t>Secant Method Initial Guesses</t>
  </si>
  <si>
    <t>Call Option Parameters (Q1)</t>
  </si>
  <si>
    <t>Regula Falsi</t>
  </si>
  <si>
    <t>Regula Falsi Initial Guesses</t>
  </si>
  <si>
    <t>Bull Spread Parameters (Q2)</t>
  </si>
  <si>
    <t>Long Call Strike Price</t>
  </si>
  <si>
    <t>Short Call Strike Price</t>
  </si>
  <si>
    <t>Did not converge, implied vega equal to 0</t>
  </si>
  <si>
    <t>European Call Implied Volatility</t>
  </si>
  <si>
    <t>Bull Spread Implied Volatility</t>
  </si>
  <si>
    <t>BLUE cells should not be changed</t>
  </si>
  <si>
    <t>YELLOW cells take user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</si>
</sst>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9" fontId="0" fillId="2" borderId="0" xfId="2" applyFont="1" applyFill="1"/>
    <xf numFmtId="10" fontId="0" fillId="2" borderId="0" xfId="2" applyNumberFormat="1" applyFont="1" applyFill="1"/>
    <xf numFmtId="0" fontId="0" fillId="0" borderId="0" xfId="0" applyFill="1"/>
    <xf numFmtId="14" fontId="0" fillId="0" borderId="0" xfId="0" applyNumberFormat="1"/>
    <xf numFmtId="9" fontId="0" fillId="0" borderId="0" xfId="2" applyFont="1" applyFill="1"/>
    <xf numFmtId="10" fontId="0" fillId="0" borderId="0" xfId="2" applyNumberFormat="1" applyFont="1" applyFill="1"/>
    <xf numFmtId="164" fontId="0" fillId="2" borderId="0" xfId="0" applyNumberFormat="1" applyFill="1"/>
    <xf numFmtId="164" fontId="0" fillId="2" borderId="0" xfId="1" applyNumberFormat="1" applyFont="1" applyFill="1"/>
    <xf numFmtId="165" fontId="0" fillId="3" borderId="0" xfId="2" applyNumberFormat="1" applyFont="1" applyFill="1"/>
    <xf numFmtId="0" fontId="0" fillId="0" borderId="0" xfId="0" applyFont="1" applyAlignment="1">
      <alignment horizontal="left"/>
    </xf>
    <xf numFmtId="164" fontId="0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0" fillId="3" borderId="0" xfId="2" applyNumberFormat="1" applyFon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6</xdr:row>
          <xdr:rowOff>95250</xdr:rowOff>
        </xdr:from>
        <xdr:to>
          <xdr:col>5</xdr:col>
          <xdr:colOff>495300</xdr:colOff>
          <xdr:row>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European 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6</xdr:row>
          <xdr:rowOff>95250</xdr:rowOff>
        </xdr:from>
        <xdr:to>
          <xdr:col>9</xdr:col>
          <xdr:colOff>495300</xdr:colOff>
          <xdr:row>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Bull Spread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0DEE-77D2-480A-B8D4-59802A8B9240}">
  <sheetPr codeName="Sheet1"/>
  <dimension ref="A1:P27"/>
  <sheetViews>
    <sheetView tabSelected="1" zoomScale="80" zoomScaleNormal="80" workbookViewId="0">
      <selection activeCell="J16" sqref="J16"/>
    </sheetView>
  </sheetViews>
  <sheetFormatPr defaultRowHeight="15" x14ac:dyDescent="0.25"/>
  <cols>
    <col min="1" max="1" width="33.85546875" bestFit="1" customWidth="1"/>
    <col min="2" max="2" width="13.85546875" bestFit="1" customWidth="1"/>
    <col min="4" max="4" width="32.140625" bestFit="1" customWidth="1"/>
    <col min="5" max="5" width="9.85546875" bestFit="1" customWidth="1"/>
    <col min="6" max="6" width="9" style="4"/>
    <col min="8" max="8" width="32.140625" bestFit="1" customWidth="1"/>
    <col min="9" max="9" width="10" customWidth="1"/>
    <col min="16" max="16" width="34.85546875" bestFit="1" customWidth="1"/>
  </cols>
  <sheetData>
    <row r="1" spans="1:16" x14ac:dyDescent="0.25">
      <c r="A1" s="13" t="s">
        <v>10</v>
      </c>
      <c r="B1" s="14"/>
      <c r="D1" s="13" t="s">
        <v>24</v>
      </c>
      <c r="E1" s="13"/>
      <c r="F1" s="13"/>
      <c r="H1" s="13" t="s">
        <v>25</v>
      </c>
      <c r="I1" s="13"/>
      <c r="J1" s="13"/>
    </row>
    <row r="2" spans="1:16" x14ac:dyDescent="0.25">
      <c r="A2" t="s">
        <v>8</v>
      </c>
      <c r="B2" s="1">
        <v>365</v>
      </c>
      <c r="D2" s="15" t="s">
        <v>11</v>
      </c>
      <c r="E2" s="15"/>
      <c r="F2" s="15"/>
      <c r="H2" s="15" t="s">
        <v>11</v>
      </c>
      <c r="I2" s="15"/>
      <c r="J2" s="15"/>
      <c r="P2" s="1" t="s">
        <v>27</v>
      </c>
    </row>
    <row r="3" spans="1:16" x14ac:dyDescent="0.25">
      <c r="A3" t="s">
        <v>13</v>
      </c>
      <c r="B3" s="1">
        <v>1000000</v>
      </c>
      <c r="D3" t="s">
        <v>9</v>
      </c>
      <c r="E3" s="9">
        <v>1</v>
      </c>
      <c r="H3" t="s">
        <v>9</v>
      </c>
      <c r="I3" s="8">
        <v>1.7</v>
      </c>
      <c r="P3" s="17" t="s">
        <v>26</v>
      </c>
    </row>
    <row r="4" spans="1:16" x14ac:dyDescent="0.25">
      <c r="A4" t="s">
        <v>14</v>
      </c>
      <c r="B4" s="1">
        <v>-4</v>
      </c>
      <c r="D4" t="s">
        <v>15</v>
      </c>
      <c r="E4" s="2">
        <v>0.2</v>
      </c>
      <c r="F4" s="6"/>
      <c r="H4" t="s">
        <v>15</v>
      </c>
      <c r="I4" s="2">
        <v>0.2</v>
      </c>
      <c r="J4" s="6"/>
    </row>
    <row r="5" spans="1:16" x14ac:dyDescent="0.25">
      <c r="D5" t="s">
        <v>19</v>
      </c>
      <c r="E5" s="2">
        <v>0.01</v>
      </c>
      <c r="F5" s="2">
        <v>0.3</v>
      </c>
      <c r="H5" t="s">
        <v>19</v>
      </c>
      <c r="I5" s="2">
        <v>0.01</v>
      </c>
      <c r="J5" s="2">
        <v>0.3</v>
      </c>
    </row>
    <row r="6" spans="1:16" x14ac:dyDescent="0.25">
      <c r="A6" s="13" t="s">
        <v>17</v>
      </c>
      <c r="B6" s="13"/>
      <c r="D6" t="s">
        <v>16</v>
      </c>
      <c r="E6" s="2">
        <v>0.05</v>
      </c>
      <c r="F6" s="2">
        <v>0.15</v>
      </c>
      <c r="H6" t="s">
        <v>16</v>
      </c>
      <c r="I6" s="2">
        <v>0.05</v>
      </c>
      <c r="J6" s="2">
        <v>0.15</v>
      </c>
    </row>
    <row r="7" spans="1:16" x14ac:dyDescent="0.25">
      <c r="A7" t="s">
        <v>1</v>
      </c>
      <c r="B7" s="9">
        <v>120</v>
      </c>
      <c r="D7" s="4"/>
      <c r="E7" s="4"/>
      <c r="G7" s="4"/>
      <c r="H7" s="4"/>
      <c r="I7" s="4"/>
    </row>
    <row r="8" spans="1:16" x14ac:dyDescent="0.25">
      <c r="A8" t="s">
        <v>0</v>
      </c>
      <c r="B8" s="9">
        <v>120</v>
      </c>
      <c r="D8" s="4"/>
      <c r="E8" s="4"/>
      <c r="G8" s="4"/>
      <c r="H8" s="4"/>
      <c r="I8" s="4"/>
    </row>
    <row r="9" spans="1:16" x14ac:dyDescent="0.25">
      <c r="A9" t="s">
        <v>3</v>
      </c>
      <c r="B9" s="3">
        <v>5.0000000000000001E-3</v>
      </c>
      <c r="D9" s="16" t="s">
        <v>12</v>
      </c>
      <c r="E9" s="16"/>
      <c r="F9" s="16"/>
      <c r="H9" s="16" t="s">
        <v>12</v>
      </c>
      <c r="I9" s="16"/>
      <c r="J9" s="16"/>
    </row>
    <row r="10" spans="1:16" x14ac:dyDescent="0.25">
      <c r="A10" t="s">
        <v>4</v>
      </c>
      <c r="B10" s="3">
        <v>0.04</v>
      </c>
      <c r="D10" t="s">
        <v>6</v>
      </c>
      <c r="E10" s="10">
        <v>6.1368997040015479E-2</v>
      </c>
      <c r="H10" t="s">
        <v>6</v>
      </c>
      <c r="I10" s="10" t="s">
        <v>23</v>
      </c>
    </row>
    <row r="11" spans="1:16" x14ac:dyDescent="0.25">
      <c r="A11" t="s">
        <v>2</v>
      </c>
      <c r="B11" s="1">
        <v>92</v>
      </c>
      <c r="D11" t="s">
        <v>18</v>
      </c>
      <c r="E11" s="10">
        <v>6.1371694980758194E-2</v>
      </c>
      <c r="H11" t="s">
        <v>18</v>
      </c>
      <c r="I11" s="10">
        <v>0.63946484953204774</v>
      </c>
    </row>
    <row r="12" spans="1:16" x14ac:dyDescent="0.25">
      <c r="A12" t="s">
        <v>5</v>
      </c>
      <c r="B12" s="17">
        <f>B11/B2</f>
        <v>0.25205479452054796</v>
      </c>
      <c r="D12" t="s">
        <v>7</v>
      </c>
      <c r="E12" s="10">
        <v>6.1368748594112878E-2</v>
      </c>
      <c r="H12" t="s">
        <v>7</v>
      </c>
      <c r="I12" s="10">
        <v>0.10656042257179378</v>
      </c>
    </row>
    <row r="14" spans="1:16" x14ac:dyDescent="0.25">
      <c r="A14" s="13" t="s">
        <v>20</v>
      </c>
      <c r="B14" s="13"/>
    </row>
    <row r="15" spans="1:16" x14ac:dyDescent="0.25">
      <c r="A15" s="11" t="s">
        <v>1</v>
      </c>
      <c r="B15" s="12">
        <v>120</v>
      </c>
    </row>
    <row r="16" spans="1:16" x14ac:dyDescent="0.25">
      <c r="A16" s="11" t="s">
        <v>21</v>
      </c>
      <c r="B16" s="12">
        <v>118</v>
      </c>
    </row>
    <row r="17" spans="1:2" x14ac:dyDescent="0.25">
      <c r="A17" s="11" t="s">
        <v>22</v>
      </c>
      <c r="B17" s="12">
        <v>122</v>
      </c>
    </row>
    <row r="18" spans="1:2" x14ac:dyDescent="0.25">
      <c r="A18" t="s">
        <v>3</v>
      </c>
      <c r="B18" s="3">
        <v>5.0000000000000001E-3</v>
      </c>
    </row>
    <row r="19" spans="1:2" x14ac:dyDescent="0.25">
      <c r="A19" t="s">
        <v>4</v>
      </c>
      <c r="B19" s="3">
        <v>0.04</v>
      </c>
    </row>
    <row r="20" spans="1:2" x14ac:dyDescent="0.25">
      <c r="A20" t="s">
        <v>2</v>
      </c>
      <c r="B20" s="1">
        <v>92</v>
      </c>
    </row>
    <row r="21" spans="1:2" x14ac:dyDescent="0.25">
      <c r="A21" t="s">
        <v>5</v>
      </c>
      <c r="B21" s="17">
        <f>B20/B2</f>
        <v>0.25205479452054796</v>
      </c>
    </row>
    <row r="22" spans="1:2" x14ac:dyDescent="0.25">
      <c r="B22" s="7"/>
    </row>
    <row r="23" spans="1:2" x14ac:dyDescent="0.25">
      <c r="B23" s="7"/>
    </row>
    <row r="24" spans="1:2" x14ac:dyDescent="0.25">
      <c r="B24" s="4"/>
    </row>
    <row r="26" spans="1:2" x14ac:dyDescent="0.25">
      <c r="A26" s="5"/>
    </row>
    <row r="27" spans="1:2" x14ac:dyDescent="0.25">
      <c r="A27" s="5"/>
    </row>
  </sheetData>
  <mergeCells count="9">
    <mergeCell ref="A14:B14"/>
    <mergeCell ref="A6:B6"/>
    <mergeCell ref="A1:B1"/>
    <mergeCell ref="D1:F1"/>
    <mergeCell ref="H1:J1"/>
    <mergeCell ref="D2:F2"/>
    <mergeCell ref="D9:F9"/>
    <mergeCell ref="H2:J2"/>
    <mergeCell ref="H9:J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uro_Call_Calcs">
                <anchor moveWithCells="1" sizeWithCells="1">
                  <from>
                    <xdr:col>3</xdr:col>
                    <xdr:colOff>95250</xdr:colOff>
                    <xdr:row>6</xdr:row>
                    <xdr:rowOff>95250</xdr:rowOff>
                  </from>
                  <to>
                    <xdr:col>5</xdr:col>
                    <xdr:colOff>495300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ll_Spread_Calcs">
                <anchor moveWithCells="1" sizeWithCells="1">
                  <from>
                    <xdr:col>7</xdr:col>
                    <xdr:colOff>104775</xdr:colOff>
                    <xdr:row>6</xdr:row>
                    <xdr:rowOff>95250</xdr:rowOff>
                  </from>
                  <to>
                    <xdr:col>9</xdr:col>
                    <xdr:colOff>495300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Mc</dc:creator>
  <cp:lastModifiedBy>Dan Mc</cp:lastModifiedBy>
  <dcterms:created xsi:type="dcterms:W3CDTF">2019-04-12T15:25:32Z</dcterms:created>
  <dcterms:modified xsi:type="dcterms:W3CDTF">2020-07-10T14:38:57Z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085578d0-b642-494e-8ac1-3f07a0cd8380</vt:lpwstr>
  </property>
</Properties>
</file>